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ages" sheetId="1" state="visible" r:id="rId1"/>
    <sheet xmlns:r="http://schemas.openxmlformats.org/officeDocument/2006/relationships" name="Lacs" sheetId="2" state="visible" r:id="rId2"/>
    <sheet xmlns:r="http://schemas.openxmlformats.org/officeDocument/2006/relationships" name="Rivières" sheetId="3" state="visible" r:id="rId3"/>
    <sheet xmlns:r="http://schemas.openxmlformats.org/officeDocument/2006/relationships" name="Nappes phréatiques" sheetId="4" state="visible" r:id="rId4"/>
    <sheet xmlns:r="http://schemas.openxmlformats.org/officeDocument/2006/relationships" name="Guide intégration Ja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7F5200"/>
      <sz val="10"/>
    </font>
    <font>
      <name val="Arial"/>
      <b val="1"/>
      <color rgb="002E75B6"/>
      <sz val="10"/>
    </font>
    <font>
      <name val="Arial"/>
      <b val="1"/>
      <color rgb="00C00000"/>
      <sz val="10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D6E56"/>
      </patternFill>
    </fill>
    <fill>
      <patternFill patternType="solid">
        <fgColor rgb="00E1F5EE"/>
      </patternFill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7F52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3">
    <border>
      <left/>
      <right/>
      <top/>
      <bottom/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top" wrapText="1"/>
    </xf>
    <xf numFmtId="0" fontId="8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12" customWidth="1" min="11" max="11"/>
    <col width="20" customWidth="1" min="12" max="12"/>
    <col width="25" customWidth="1" min="13" max="13"/>
  </cols>
  <sheetData>
    <row r="1" ht="30" customHeight="1">
      <c r="A1" s="1" t="inlineStr">
        <is>
          <t>MAROC — SITUATION DES BARRAGES  |  Source : Ministère de l'Équipement et de l'Eau</t>
        </is>
      </c>
    </row>
    <row r="2" ht="48" customHeight="1">
      <c r="A2" s="2" t="inlineStr">
        <is>
          <t>ID</t>
        </is>
      </c>
      <c r="B2" s="2" t="inlineStr">
        <is>
          <t>Nom du barrage</t>
        </is>
      </c>
      <c r="C2" s="2" t="inlineStr">
        <is>
          <t>Bassin versant</t>
        </is>
      </c>
      <c r="D2" s="2" t="inlineStr">
        <is>
          <t>Province / Région</t>
        </is>
      </c>
      <c r="E2" s="2" t="inlineStr">
        <is>
          <t>Coordonnées GPS
(Lat, Lon)</t>
        </is>
      </c>
      <c r="F2" s="2" t="inlineStr">
        <is>
          <t>Capacité max
(Mm³)</t>
        </is>
      </c>
      <c r="G2" s="2" t="inlineStr">
        <is>
          <t>Niveau actuel
(Mm³)</t>
        </is>
      </c>
      <c r="H2" s="2" t="inlineStr">
        <is>
          <t>Taux de remplissage
(%)</t>
        </is>
      </c>
      <c r="I2" s="2" t="inlineStr">
        <is>
          <t>Statut remplissage</t>
        </is>
      </c>
      <c r="J2" s="2" t="inlineStr">
        <is>
          <t>Année mise
en service</t>
        </is>
      </c>
      <c r="K2" s="2" t="inlineStr">
        <is>
          <t>Superficie
(km²)</t>
        </is>
      </c>
      <c r="L2" s="2" t="inlineStr">
        <is>
          <t>Source données</t>
        </is>
      </c>
      <c r="M2" s="2" t="inlineStr">
        <is>
          <t>Notes</t>
        </is>
      </c>
    </row>
    <row r="3" ht="20" customHeight="1">
      <c r="A3" s="3" t="n">
        <v>1</v>
      </c>
      <c r="B3" s="4" t="inlineStr">
        <is>
          <t>Barrage Al Wahda (Oued El Makhazine)</t>
        </is>
      </c>
      <c r="C3" s="3" t="inlineStr">
        <is>
          <t>Sebou</t>
        </is>
      </c>
      <c r="D3" s="3" t="inlineStr">
        <is>
          <t>Ouazzane / Rabat-Salé-Kénitra</t>
        </is>
      </c>
      <c r="E3" s="3" t="inlineStr">
        <is>
          <t>34.87, -5.58</t>
        </is>
      </c>
      <c r="F3" s="3" t="n">
        <v>3800</v>
      </c>
      <c r="G3" s="3" t="n">
        <v>2100</v>
      </c>
      <c r="H3" s="5">
        <f>G3/F3*100</f>
        <v/>
      </c>
      <c r="I3" s="6" t="inlineStr">
        <is>
          <t>NORMAL</t>
        </is>
      </c>
      <c r="J3" s="3" t="n">
        <v>1996</v>
      </c>
      <c r="K3" s="3" t="n">
        <v>680</v>
      </c>
      <c r="L3" s="3" t="inlineStr">
        <is>
          <t>Ministère Eau</t>
        </is>
      </c>
      <c r="M3" s="3" t="inlineStr">
        <is>
          <t>Plus grand barrage du Maroc</t>
        </is>
      </c>
    </row>
    <row r="4" ht="20" customHeight="1">
      <c r="A4" s="7" t="n">
        <v>2</v>
      </c>
      <c r="B4" s="8" t="inlineStr">
        <is>
          <t>Barrage Idriss 1er</t>
        </is>
      </c>
      <c r="C4" s="7" t="inlineStr">
        <is>
          <t>Sebou</t>
        </is>
      </c>
      <c r="D4" s="7" t="inlineStr">
        <is>
          <t>Sefrou / Fès-Meknès</t>
        </is>
      </c>
      <c r="E4" s="7" t="inlineStr">
        <is>
          <t>34.08, -4.60</t>
        </is>
      </c>
      <c r="F4" s="7" t="n">
        <v>1186</v>
      </c>
      <c r="G4" s="7" t="n">
        <v>680</v>
      </c>
      <c r="H4" s="9">
        <f>G4/F4*100</f>
        <v/>
      </c>
      <c r="I4" s="10" t="inlineStr">
        <is>
          <t>NORMAL</t>
        </is>
      </c>
      <c r="J4" s="7" t="n">
        <v>1973</v>
      </c>
      <c r="K4" s="7" t="n">
        <v>115</v>
      </c>
      <c r="L4" s="7" t="inlineStr">
        <is>
          <t>Ministère Eau</t>
        </is>
      </c>
      <c r="M4" s="7" t="inlineStr">
        <is>
          <t>Alimentation eau potable Fès</t>
        </is>
      </c>
    </row>
    <row r="5" ht="20" customHeight="1">
      <c r="A5" s="3" t="n">
        <v>3</v>
      </c>
      <c r="B5" s="4" t="inlineStr">
        <is>
          <t>Barrage Allal El Fassi</t>
        </is>
      </c>
      <c r="C5" s="3" t="inlineStr">
        <is>
          <t>Sebou</t>
        </is>
      </c>
      <c r="D5" s="3" t="inlineStr">
        <is>
          <t>Fès / Fès-Meknès</t>
        </is>
      </c>
      <c r="E5" s="3" t="inlineStr">
        <is>
          <t>34.30, -4.48</t>
        </is>
      </c>
      <c r="F5" s="3" t="n">
        <v>475</v>
      </c>
      <c r="G5" s="3" t="n">
        <v>290</v>
      </c>
      <c r="H5" s="5">
        <f>G5/F5*100</f>
        <v/>
      </c>
      <c r="I5" s="6" t="inlineStr">
        <is>
          <t>NORMAL</t>
        </is>
      </c>
      <c r="J5" s="3" t="n">
        <v>1990</v>
      </c>
      <c r="K5" s="3" t="n">
        <v>50</v>
      </c>
      <c r="L5" s="3" t="inlineStr">
        <is>
          <t>Ministère Eau</t>
        </is>
      </c>
      <c r="M5" s="3" t="inlineStr"/>
    </row>
    <row r="6" ht="20" customHeight="1">
      <c r="A6" s="7" t="n">
        <v>4</v>
      </c>
      <c r="B6" s="8" t="inlineStr">
        <is>
          <t>Barrage Sidi Mohamed Ben Abdellah</t>
        </is>
      </c>
      <c r="C6" s="7" t="inlineStr">
        <is>
          <t>Bouregreg</t>
        </is>
      </c>
      <c r="D6" s="7" t="inlineStr">
        <is>
          <t>Rabat / Rabat-Salé-Kénitra</t>
        </is>
      </c>
      <c r="E6" s="7" t="inlineStr">
        <is>
          <t>33.97, -6.53</t>
        </is>
      </c>
      <c r="F6" s="7" t="n">
        <v>1082</v>
      </c>
      <c r="G6" s="7" t="n">
        <v>520</v>
      </c>
      <c r="H6" s="9">
        <f>G6/F6*100</f>
        <v/>
      </c>
      <c r="I6" s="10" t="inlineStr">
        <is>
          <t>NORMAL</t>
        </is>
      </c>
      <c r="J6" s="7" t="n">
        <v>1974</v>
      </c>
      <c r="K6" s="7" t="n">
        <v>102</v>
      </c>
      <c r="L6" s="7" t="inlineStr">
        <is>
          <t>Ministère Eau</t>
        </is>
      </c>
      <c r="M6" s="7" t="inlineStr">
        <is>
          <t>Alimente Rabat et Casablanca</t>
        </is>
      </c>
    </row>
    <row r="7" ht="20" customHeight="1">
      <c r="A7" s="3" t="n">
        <v>5</v>
      </c>
      <c r="B7" s="4" t="inlineStr">
        <is>
          <t>Barrage Bin El Ouidane</t>
        </is>
      </c>
      <c r="C7" s="3" t="inlineStr">
        <is>
          <t>Oum Er Rbia</t>
        </is>
      </c>
      <c r="D7" s="3" t="inlineStr">
        <is>
          <t>Azilal / Béni Mellal-Khénifra</t>
        </is>
      </c>
      <c r="E7" s="3" t="inlineStr">
        <is>
          <t>32.10, -6.46</t>
        </is>
      </c>
      <c r="F7" s="3" t="n">
        <v>1384</v>
      </c>
      <c r="G7" s="3" t="n">
        <v>590</v>
      </c>
      <c r="H7" s="5">
        <f>G7/F7*100</f>
        <v/>
      </c>
      <c r="I7" s="6" t="inlineStr">
        <is>
          <t>NORMAL</t>
        </is>
      </c>
      <c r="J7" s="3" t="n">
        <v>1953</v>
      </c>
      <c r="K7" s="3" t="n">
        <v>215</v>
      </c>
      <c r="L7" s="3" t="inlineStr">
        <is>
          <t>Ministère Eau</t>
        </is>
      </c>
      <c r="M7" s="3" t="inlineStr">
        <is>
          <t>1re grande retenue du Maroc</t>
        </is>
      </c>
    </row>
    <row r="8" ht="20" customHeight="1">
      <c r="A8" s="7" t="n">
        <v>6</v>
      </c>
      <c r="B8" s="8" t="inlineStr">
        <is>
          <t>Barrage Ahmed El Hansali</t>
        </is>
      </c>
      <c r="C8" s="7" t="inlineStr">
        <is>
          <t>Oum Er Rbia</t>
        </is>
      </c>
      <c r="D8" s="7" t="inlineStr">
        <is>
          <t>Khénifra / Béni Mellal-Khénifra</t>
        </is>
      </c>
      <c r="E8" s="7" t="inlineStr">
        <is>
          <t>32.89, -6.04</t>
        </is>
      </c>
      <c r="F8" s="7" t="n">
        <v>740</v>
      </c>
      <c r="G8" s="7" t="n">
        <v>400</v>
      </c>
      <c r="H8" s="9">
        <f>G8/F8*100</f>
        <v/>
      </c>
      <c r="I8" s="10" t="inlineStr">
        <is>
          <t>NORMAL</t>
        </is>
      </c>
      <c r="J8" s="7" t="n">
        <v>2007</v>
      </c>
      <c r="K8" s="7" t="n">
        <v>88</v>
      </c>
      <c r="L8" s="7" t="inlineStr">
        <is>
          <t>Ministère Eau</t>
        </is>
      </c>
      <c r="M8" s="7" t="inlineStr"/>
    </row>
    <row r="9" ht="20" customHeight="1">
      <c r="A9" s="3" t="n">
        <v>7</v>
      </c>
      <c r="B9" s="4" t="inlineStr">
        <is>
          <t>Barrage Hassan II (Aït Aadel)</t>
        </is>
      </c>
      <c r="C9" s="3" t="inlineStr">
        <is>
          <t>Oum Er Rbia</t>
        </is>
      </c>
      <c r="D9" s="3" t="inlineStr">
        <is>
          <t>Khénifra / Béni Mellal-Khénifra</t>
        </is>
      </c>
      <c r="E9" s="3" t="inlineStr">
        <is>
          <t>32.64, -5.91</t>
        </is>
      </c>
      <c r="F9" s="3" t="n">
        <v>396</v>
      </c>
      <c r="G9" s="3" t="n">
        <v>210</v>
      </c>
      <c r="H9" s="5">
        <f>G9/F9*100</f>
        <v/>
      </c>
      <c r="I9" s="6" t="inlineStr">
        <is>
          <t>NORMAL</t>
        </is>
      </c>
      <c r="J9" s="3" t="n">
        <v>2009</v>
      </c>
      <c r="K9" s="3" t="n">
        <v>40</v>
      </c>
      <c r="L9" s="3" t="inlineStr">
        <is>
          <t>Ministère Eau</t>
        </is>
      </c>
      <c r="M9" s="3" t="inlineStr"/>
    </row>
    <row r="10" ht="20" customHeight="1">
      <c r="A10" s="7" t="n">
        <v>8</v>
      </c>
      <c r="B10" s="8" t="inlineStr">
        <is>
          <t>Barrage Dchar El Oued</t>
        </is>
      </c>
      <c r="C10" s="7" t="inlineStr">
        <is>
          <t>Oum Er Rbia</t>
        </is>
      </c>
      <c r="D10" s="7" t="inlineStr">
        <is>
          <t>Khénifra / Béni Mellal-Khénifra</t>
        </is>
      </c>
      <c r="E10" s="7" t="inlineStr">
        <is>
          <t>32.55, -6.11</t>
        </is>
      </c>
      <c r="F10" s="7" t="n">
        <v>17</v>
      </c>
      <c r="G10" s="7" t="n">
        <v>10</v>
      </c>
      <c r="H10" s="9">
        <f>G10/F10*100</f>
        <v/>
      </c>
      <c r="I10" s="10" t="inlineStr">
        <is>
          <t>NORMAL</t>
        </is>
      </c>
      <c r="J10" s="7" t="n">
        <v>1955</v>
      </c>
      <c r="K10" s="7" t="n">
        <v>4</v>
      </c>
      <c r="L10" s="7" t="inlineStr">
        <is>
          <t>Ministère Eau</t>
        </is>
      </c>
      <c r="M10" s="7" t="inlineStr"/>
    </row>
    <row r="11" ht="20" customHeight="1">
      <c r="A11" s="3" t="n">
        <v>9</v>
      </c>
      <c r="B11" s="4" t="inlineStr">
        <is>
          <t>Barrage Lalla Takerkoust</t>
        </is>
      </c>
      <c r="C11" s="3" t="inlineStr">
        <is>
          <t>Tensift</t>
        </is>
      </c>
      <c r="D11" s="3" t="inlineStr">
        <is>
          <t>Al Haouz / Marrakech-Safi</t>
        </is>
      </c>
      <c r="E11" s="3" t="inlineStr">
        <is>
          <t>31.37, -8.30</t>
        </is>
      </c>
      <c r="F11" s="3" t="n">
        <v>70</v>
      </c>
      <c r="G11" s="3" t="n">
        <v>22</v>
      </c>
      <c r="H11" s="5">
        <f>G11/F11*100</f>
        <v/>
      </c>
      <c r="I11" s="11" t="inlineStr">
        <is>
          <t>BAS</t>
        </is>
      </c>
      <c r="J11" s="3" t="n">
        <v>1935</v>
      </c>
      <c r="K11" s="3" t="n">
        <v>10</v>
      </c>
      <c r="L11" s="3" t="inlineStr">
        <is>
          <t>Ministère Eau</t>
        </is>
      </c>
      <c r="M11" s="3" t="inlineStr">
        <is>
          <t>Alimente Marrakech</t>
        </is>
      </c>
    </row>
    <row r="12" ht="20" customHeight="1">
      <c r="A12" s="7" t="n">
        <v>10</v>
      </c>
      <c r="B12" s="8" t="inlineStr">
        <is>
          <t>Barrage Wirgane</t>
        </is>
      </c>
      <c r="C12" s="7" t="inlineStr">
        <is>
          <t>Tensift</t>
        </is>
      </c>
      <c r="D12" s="7" t="inlineStr">
        <is>
          <t>Al Haouz / Marrakech-Safi</t>
        </is>
      </c>
      <c r="E12" s="7" t="inlineStr">
        <is>
          <t>31.18, -8.09</t>
        </is>
      </c>
      <c r="F12" s="7" t="n">
        <v>270</v>
      </c>
      <c r="G12" s="7" t="n">
        <v>130</v>
      </c>
      <c r="H12" s="9">
        <f>G12/F12*100</f>
        <v/>
      </c>
      <c r="I12" s="10" t="inlineStr">
        <is>
          <t>NORMAL</t>
        </is>
      </c>
      <c r="J12" s="7" t="n">
        <v>2014</v>
      </c>
      <c r="K12" s="7" t="n">
        <v>22</v>
      </c>
      <c r="L12" s="7" t="inlineStr">
        <is>
          <t>Ministère Eau</t>
        </is>
      </c>
      <c r="M12" s="7" t="inlineStr"/>
    </row>
    <row r="13" ht="20" customHeight="1">
      <c r="A13" s="3" t="n">
        <v>11</v>
      </c>
      <c r="B13" s="4" t="inlineStr">
        <is>
          <t>Barrage Sidi Driss</t>
        </is>
      </c>
      <c r="C13" s="3" t="inlineStr">
        <is>
          <t>Tensift</t>
        </is>
      </c>
      <c r="D13" s="3" t="inlineStr">
        <is>
          <t>Al Haouz / Marrakech-Safi</t>
        </is>
      </c>
      <c r="E13" s="3" t="inlineStr">
        <is>
          <t>31.55, -7.90</t>
        </is>
      </c>
      <c r="F13" s="3" t="n">
        <v>44</v>
      </c>
      <c r="G13" s="3" t="n">
        <v>22</v>
      </c>
      <c r="H13" s="5">
        <f>G13/F13*100</f>
        <v/>
      </c>
      <c r="I13" s="6" t="inlineStr">
        <is>
          <t>NORMAL</t>
        </is>
      </c>
      <c r="J13" s="3" t="n">
        <v>1980</v>
      </c>
      <c r="K13" s="3" t="n">
        <v>5</v>
      </c>
      <c r="L13" s="3" t="inlineStr">
        <is>
          <t>Ministère Eau</t>
        </is>
      </c>
      <c r="M13" s="3" t="inlineStr"/>
    </row>
    <row r="14" ht="20" customHeight="1">
      <c r="A14" s="7" t="n">
        <v>12</v>
      </c>
      <c r="B14" s="8" t="inlineStr">
        <is>
          <t>Barrage Mansour Eddahbi</t>
        </is>
      </c>
      <c r="C14" s="7" t="inlineStr">
        <is>
          <t>Drâa</t>
        </is>
      </c>
      <c r="D14" s="7" t="inlineStr">
        <is>
          <t>Ouarzazate / Drâa-Tafilalet</t>
        </is>
      </c>
      <c r="E14" s="7" t="inlineStr">
        <is>
          <t>30.93, -6.87</t>
        </is>
      </c>
      <c r="F14" s="7" t="n">
        <v>560</v>
      </c>
      <c r="G14" s="7" t="n">
        <v>182</v>
      </c>
      <c r="H14" s="9">
        <f>G14/F14*100</f>
        <v/>
      </c>
      <c r="I14" s="12" t="inlineStr">
        <is>
          <t>BAS</t>
        </is>
      </c>
      <c r="J14" s="7" t="n">
        <v>1972</v>
      </c>
      <c r="K14" s="7" t="n">
        <v>108</v>
      </c>
      <c r="L14" s="7" t="inlineStr">
        <is>
          <t>Ministère Eau</t>
        </is>
      </c>
      <c r="M14" s="7" t="inlineStr">
        <is>
          <t>Régulation fleuve Drâa</t>
        </is>
      </c>
    </row>
    <row r="15" ht="20" customHeight="1">
      <c r="A15" s="3" t="n">
        <v>13</v>
      </c>
      <c r="B15" s="4" t="inlineStr">
        <is>
          <t>Barrage Hassan Addakhil</t>
        </is>
      </c>
      <c r="C15" s="3" t="inlineStr">
        <is>
          <t>Ziz</t>
        </is>
      </c>
      <c r="D15" s="3" t="inlineStr">
        <is>
          <t>Er-Rachidia / Drâa-Tafilalet</t>
        </is>
      </c>
      <c r="E15" s="3" t="inlineStr">
        <is>
          <t>31.97, -4.39</t>
        </is>
      </c>
      <c r="F15" s="3" t="n">
        <v>345</v>
      </c>
      <c r="G15" s="3" t="n">
        <v>180</v>
      </c>
      <c r="H15" s="5">
        <f>G15/F15*100</f>
        <v/>
      </c>
      <c r="I15" s="6" t="inlineStr">
        <is>
          <t>NORMAL</t>
        </is>
      </c>
      <c r="J15" s="3" t="n">
        <v>1971</v>
      </c>
      <c r="K15" s="3" t="n">
        <v>60</v>
      </c>
      <c r="L15" s="3" t="inlineStr">
        <is>
          <t>Ministère Eau</t>
        </is>
      </c>
      <c r="M15" s="3" t="inlineStr"/>
    </row>
    <row r="16" ht="20" customHeight="1">
      <c r="A16" s="7" t="n">
        <v>14</v>
      </c>
      <c r="B16" s="8" t="inlineStr">
        <is>
          <t>Barrage Aoulouz</t>
        </is>
      </c>
      <c r="C16" s="7" t="inlineStr">
        <is>
          <t>Souss</t>
        </is>
      </c>
      <c r="D16" s="7" t="inlineStr">
        <is>
          <t>Taroudant / Souss-Massa</t>
        </is>
      </c>
      <c r="E16" s="7" t="inlineStr">
        <is>
          <t>30.70, -8.17</t>
        </is>
      </c>
      <c r="F16" s="7" t="n">
        <v>125</v>
      </c>
      <c r="G16" s="7" t="n">
        <v>62</v>
      </c>
      <c r="H16" s="9">
        <f>G16/F16*100</f>
        <v/>
      </c>
      <c r="I16" s="10" t="inlineStr">
        <is>
          <t>NORMAL</t>
        </is>
      </c>
      <c r="J16" s="7" t="n">
        <v>1994</v>
      </c>
      <c r="K16" s="7" t="n">
        <v>15</v>
      </c>
      <c r="L16" s="7" t="inlineStr">
        <is>
          <t>Ministère Eau</t>
        </is>
      </c>
      <c r="M16" s="7" t="inlineStr"/>
    </row>
    <row r="17" ht="20" customHeight="1">
      <c r="A17" s="3" t="n">
        <v>15</v>
      </c>
      <c r="B17" s="4" t="inlineStr">
        <is>
          <t>Barrage Youssef Ben Tachfine</t>
        </is>
      </c>
      <c r="C17" s="3" t="inlineStr">
        <is>
          <t>Souss</t>
        </is>
      </c>
      <c r="D17" s="3" t="inlineStr">
        <is>
          <t>Tiznit / Souss-Massa</t>
        </is>
      </c>
      <c r="E17" s="3" t="inlineStr">
        <is>
          <t>29.84, -9.49</t>
        </is>
      </c>
      <c r="F17" s="3" t="n">
        <v>298</v>
      </c>
      <c r="G17" s="3" t="n">
        <v>102</v>
      </c>
      <c r="H17" s="5">
        <f>G17/F17*100</f>
        <v/>
      </c>
      <c r="I17" s="11" t="inlineStr">
        <is>
          <t>BAS</t>
        </is>
      </c>
      <c r="J17" s="3" t="n">
        <v>1972</v>
      </c>
      <c r="K17" s="3" t="n">
        <v>39</v>
      </c>
      <c r="L17" s="3" t="inlineStr">
        <is>
          <t>Ministère Eau</t>
        </is>
      </c>
      <c r="M17" s="3" t="inlineStr"/>
    </row>
    <row r="18" ht="20" customHeight="1">
      <c r="A18" s="7" t="n">
        <v>16</v>
      </c>
      <c r="B18" s="8" t="inlineStr">
        <is>
          <t>Barrage Abdelmoumen</t>
        </is>
      </c>
      <c r="C18" s="7" t="inlineStr">
        <is>
          <t>Souss</t>
        </is>
      </c>
      <c r="D18" s="7" t="inlineStr">
        <is>
          <t>Agadir / Souss-Massa</t>
        </is>
      </c>
      <c r="E18" s="7" t="inlineStr">
        <is>
          <t>30.32, -9.18</t>
        </is>
      </c>
      <c r="F18" s="7" t="n">
        <v>66</v>
      </c>
      <c r="G18" s="7" t="n">
        <v>33</v>
      </c>
      <c r="H18" s="9">
        <f>G18/F18*100</f>
        <v/>
      </c>
      <c r="I18" s="10" t="inlineStr">
        <is>
          <t>NORMAL</t>
        </is>
      </c>
      <c r="J18" s="7" t="n">
        <v>1981</v>
      </c>
      <c r="K18" s="7" t="n">
        <v>8</v>
      </c>
      <c r="L18" s="7" t="inlineStr">
        <is>
          <t>Ministère Eau</t>
        </is>
      </c>
      <c r="M18" s="7" t="inlineStr"/>
    </row>
    <row r="19" ht="20" customHeight="1">
      <c r="A19" s="3" t="n">
        <v>17</v>
      </c>
      <c r="B19" s="4" t="inlineStr">
        <is>
          <t>Barrage Imi El Kheng</t>
        </is>
      </c>
      <c r="C19" s="3" t="inlineStr">
        <is>
          <t>Souss</t>
        </is>
      </c>
      <c r="D19" s="3" t="inlineStr">
        <is>
          <t>Taroudant / Souss-Massa</t>
        </is>
      </c>
      <c r="E19" s="3" t="inlineStr">
        <is>
          <t>30.87, -8.45</t>
        </is>
      </c>
      <c r="F19" s="3" t="n">
        <v>30</v>
      </c>
      <c r="G19" s="3" t="n">
        <v>15</v>
      </c>
      <c r="H19" s="5">
        <f>G19/F19*100</f>
        <v/>
      </c>
      <c r="I19" s="6" t="inlineStr">
        <is>
          <t>NORMAL</t>
        </is>
      </c>
      <c r="J19" s="3" t="n">
        <v>2002</v>
      </c>
      <c r="K19" s="3" t="n">
        <v>3</v>
      </c>
      <c r="L19" s="3" t="inlineStr">
        <is>
          <t>Ministère Eau</t>
        </is>
      </c>
      <c r="M19" s="3" t="inlineStr"/>
    </row>
    <row r="20" ht="20" customHeight="1">
      <c r="A20" s="7" t="n">
        <v>18</v>
      </c>
      <c r="B20" s="8" t="inlineStr">
        <is>
          <t>Barrage Mohammed V</t>
        </is>
      </c>
      <c r="C20" s="7" t="inlineStr">
        <is>
          <t>Moulouya</t>
        </is>
      </c>
      <c r="D20" s="7" t="inlineStr">
        <is>
          <t>Berkane / Oriental</t>
        </is>
      </c>
      <c r="E20" s="7" t="inlineStr">
        <is>
          <t>34.88, -2.27</t>
        </is>
      </c>
      <c r="F20" s="7" t="n">
        <v>730</v>
      </c>
      <c r="G20" s="7" t="n">
        <v>430</v>
      </c>
      <c r="H20" s="9">
        <f>G20/F20*100</f>
        <v/>
      </c>
      <c r="I20" s="10" t="inlineStr">
        <is>
          <t>NORMAL</t>
        </is>
      </c>
      <c r="J20" s="7" t="n">
        <v>1967</v>
      </c>
      <c r="K20" s="7" t="n">
        <v>100</v>
      </c>
      <c r="L20" s="7" t="inlineStr">
        <is>
          <t>Ministère Eau</t>
        </is>
      </c>
      <c r="M20" s="7" t="inlineStr"/>
    </row>
    <row r="21" ht="20" customHeight="1">
      <c r="A21" s="3" t="n">
        <v>19</v>
      </c>
      <c r="B21" s="4" t="inlineStr">
        <is>
          <t>Barrage Mechraa Hammadi</t>
        </is>
      </c>
      <c r="C21" s="3" t="inlineStr">
        <is>
          <t>Moulouya</t>
        </is>
      </c>
      <c r="D21" s="3" t="inlineStr">
        <is>
          <t>Guercif / Oriental</t>
        </is>
      </c>
      <c r="E21" s="3" t="inlineStr">
        <is>
          <t>34.36, -3.53</t>
        </is>
      </c>
      <c r="F21" s="3" t="n">
        <v>37</v>
      </c>
      <c r="G21" s="3" t="n">
        <v>20</v>
      </c>
      <c r="H21" s="5">
        <f>G21/F21*100</f>
        <v/>
      </c>
      <c r="I21" s="6" t="inlineStr">
        <is>
          <t>NORMAL</t>
        </is>
      </c>
      <c r="J21" s="3" t="n">
        <v>1955</v>
      </c>
      <c r="K21" s="3" t="n">
        <v>5</v>
      </c>
      <c r="L21" s="3" t="inlineStr">
        <is>
          <t>Ministère Eau</t>
        </is>
      </c>
      <c r="M21" s="3" t="inlineStr"/>
    </row>
    <row r="22" ht="20" customHeight="1">
      <c r="A22" s="7" t="n">
        <v>20</v>
      </c>
      <c r="B22" s="8" t="inlineStr">
        <is>
          <t>Barrage Hassan I (Tessaout amont)</t>
        </is>
      </c>
      <c r="C22" s="7" t="inlineStr">
        <is>
          <t>Tessaout</t>
        </is>
      </c>
      <c r="D22" s="7" t="inlineStr">
        <is>
          <t>Azilal / Béni Mellal-Khénifra</t>
        </is>
      </c>
      <c r="E22" s="7" t="inlineStr">
        <is>
          <t>31.94, -6.80</t>
        </is>
      </c>
      <c r="F22" s="7" t="n">
        <v>242</v>
      </c>
      <c r="G22" s="7" t="n">
        <v>140</v>
      </c>
      <c r="H22" s="9">
        <f>G22/F22*100</f>
        <v/>
      </c>
      <c r="I22" s="10" t="inlineStr">
        <is>
          <t>NORMAL</t>
        </is>
      </c>
      <c r="J22" s="7" t="n">
        <v>1980</v>
      </c>
      <c r="K22" s="7" t="n">
        <v>25</v>
      </c>
      <c r="L22" s="7" t="inlineStr">
        <is>
          <t>Ministère Eau</t>
        </is>
      </c>
      <c r="M22" s="7" t="inlineStr"/>
    </row>
    <row r="23" ht="20" customHeight="1">
      <c r="A23" s="3" t="n">
        <v>21</v>
      </c>
      <c r="B23" s="4" t="inlineStr">
        <is>
          <t>Barrage Aït Messaoud</t>
        </is>
      </c>
      <c r="C23" s="3" t="inlineStr">
        <is>
          <t>Tessaout</t>
        </is>
      </c>
      <c r="D23" s="3" t="inlineStr">
        <is>
          <t>Azilal / Béni Mellal-Khénifra</t>
        </is>
      </c>
      <c r="E23" s="3" t="inlineStr">
        <is>
          <t>31.80, -6.71</t>
        </is>
      </c>
      <c r="F23" s="3" t="n">
        <v>29</v>
      </c>
      <c r="G23" s="3" t="n">
        <v>16</v>
      </c>
      <c r="H23" s="5">
        <f>G23/F23*100</f>
        <v/>
      </c>
      <c r="I23" s="6" t="inlineStr">
        <is>
          <t>NORMAL</t>
        </is>
      </c>
      <c r="J23" s="3" t="n">
        <v>1992</v>
      </c>
      <c r="K23" s="3" t="n">
        <v>3</v>
      </c>
      <c r="L23" s="3" t="inlineStr">
        <is>
          <t>Ministère Eau</t>
        </is>
      </c>
      <c r="M23" s="3" t="inlineStr"/>
    </row>
    <row r="24" ht="20" customHeight="1">
      <c r="A24" s="7" t="n">
        <v>22</v>
      </c>
      <c r="B24" s="8" t="inlineStr">
        <is>
          <t>Barrage Sidi Chahed</t>
        </is>
      </c>
      <c r="C24" s="7" t="inlineStr">
        <is>
          <t>Sebou</t>
        </is>
      </c>
      <c r="D24" s="7" t="inlineStr">
        <is>
          <t>Meknès / Fès-Meknès</t>
        </is>
      </c>
      <c r="E24" s="7" t="inlineStr">
        <is>
          <t>33.91, -5.55</t>
        </is>
      </c>
      <c r="F24" s="7" t="n">
        <v>170</v>
      </c>
      <c r="G24" s="7" t="n">
        <v>90</v>
      </c>
      <c r="H24" s="9">
        <f>G24/F24*100</f>
        <v/>
      </c>
      <c r="I24" s="10" t="inlineStr">
        <is>
          <t>NORMAL</t>
        </is>
      </c>
      <c r="J24" s="7" t="n">
        <v>1993</v>
      </c>
      <c r="K24" s="7" t="n">
        <v>17</v>
      </c>
      <c r="L24" s="7" t="inlineStr">
        <is>
          <t>Ministère Eau</t>
        </is>
      </c>
      <c r="M24" s="7" t="inlineStr"/>
    </row>
    <row r="25" ht="20" customHeight="1">
      <c r="A25" s="3" t="n">
        <v>23</v>
      </c>
      <c r="B25" s="4" t="inlineStr">
        <is>
          <t>Barrage Garde (El Guard)</t>
        </is>
      </c>
      <c r="C25" s="3" t="inlineStr">
        <is>
          <t>Sebou</t>
        </is>
      </c>
      <c r="D25" s="3" t="inlineStr">
        <is>
          <t>Khémisset / Rabat-Salé-Kénitra</t>
        </is>
      </c>
      <c r="E25" s="3" t="inlineStr">
        <is>
          <t>33.72, -6.07</t>
        </is>
      </c>
      <c r="F25" s="3" t="n">
        <v>54</v>
      </c>
      <c r="G25" s="3" t="n">
        <v>28</v>
      </c>
      <c r="H25" s="5">
        <f>G25/F25*100</f>
        <v/>
      </c>
      <c r="I25" s="6" t="inlineStr">
        <is>
          <t>NORMAL</t>
        </is>
      </c>
      <c r="J25" s="3" t="n">
        <v>1942</v>
      </c>
      <c r="K25" s="3" t="n">
        <v>7</v>
      </c>
      <c r="L25" s="3" t="inlineStr">
        <is>
          <t>Ministère Eau</t>
        </is>
      </c>
      <c r="M25" s="3" t="inlineStr"/>
    </row>
    <row r="26" ht="20" customHeight="1">
      <c r="A26" s="7" t="n">
        <v>24</v>
      </c>
      <c r="B26" s="8" t="inlineStr">
        <is>
          <t>Barrage Oued Mellah</t>
        </is>
      </c>
      <c r="C26" s="7" t="inlineStr">
        <is>
          <t>Bouregreg</t>
        </is>
      </c>
      <c r="D26" s="7" t="inlineStr">
        <is>
          <t>Benslimane / Casablanca-Settat</t>
        </is>
      </c>
      <c r="E26" s="7" t="inlineStr">
        <is>
          <t>33.60, -7.14</t>
        </is>
      </c>
      <c r="F26" s="7" t="n">
        <v>36</v>
      </c>
      <c r="G26" s="7" t="n">
        <v>18</v>
      </c>
      <c r="H26" s="9">
        <f>G26/F26*100</f>
        <v/>
      </c>
      <c r="I26" s="10" t="inlineStr">
        <is>
          <t>NORMAL</t>
        </is>
      </c>
      <c r="J26" s="7" t="n">
        <v>1992</v>
      </c>
      <c r="K26" s="7" t="n">
        <v>4</v>
      </c>
      <c r="L26" s="7" t="inlineStr">
        <is>
          <t>Ministère Eau</t>
        </is>
      </c>
      <c r="M26" s="7" t="inlineStr"/>
    </row>
    <row r="27" ht="20" customHeight="1">
      <c r="A27" s="3" t="n">
        <v>25</v>
      </c>
      <c r="B27" s="4" t="inlineStr">
        <is>
          <t>Barrage Daourat</t>
        </is>
      </c>
      <c r="C27" s="3" t="inlineStr">
        <is>
          <t>Bouregreg</t>
        </is>
      </c>
      <c r="D27" s="3" t="inlineStr">
        <is>
          <t>Khouribga / Béni Mellal-Khénifra</t>
        </is>
      </c>
      <c r="E27" s="3" t="inlineStr">
        <is>
          <t>33.10, -6.69</t>
        </is>
      </c>
      <c r="F27" s="3" t="n">
        <v>42</v>
      </c>
      <c r="G27" s="3" t="n">
        <v>21</v>
      </c>
      <c r="H27" s="5">
        <f>G27/F27*100</f>
        <v/>
      </c>
      <c r="I27" s="6" t="inlineStr">
        <is>
          <t>NORMAL</t>
        </is>
      </c>
      <c r="J27" s="3" t="n">
        <v>2009</v>
      </c>
      <c r="K27" s="3" t="n">
        <v>5</v>
      </c>
      <c r="L27" s="3" t="inlineStr">
        <is>
          <t>Ministère Eau</t>
        </is>
      </c>
      <c r="M27" s="3" t="inlineStr"/>
    </row>
    <row r="28" ht="20" customHeight="1">
      <c r="A28" s="7" t="n">
        <v>26</v>
      </c>
      <c r="B28" s="8" t="inlineStr">
        <is>
          <t>Barrage Nakhla</t>
        </is>
      </c>
      <c r="C28" s="7" t="inlineStr">
        <is>
          <t>Martil</t>
        </is>
      </c>
      <c r="D28" s="7" t="inlineStr">
        <is>
          <t>Tétouan / Tanger-Tétouan-Al Hoceïma</t>
        </is>
      </c>
      <c r="E28" s="7" t="inlineStr">
        <is>
          <t>35.30, -5.25</t>
        </is>
      </c>
      <c r="F28" s="7" t="n">
        <v>49</v>
      </c>
      <c r="G28" s="7" t="n">
        <v>32</v>
      </c>
      <c r="H28" s="9">
        <f>G28/F28*100</f>
        <v/>
      </c>
      <c r="I28" s="10" t="inlineStr">
        <is>
          <t>NORMAL</t>
        </is>
      </c>
      <c r="J28" s="7" t="n">
        <v>1999</v>
      </c>
      <c r="K28" s="7" t="n">
        <v>6</v>
      </c>
      <c r="L28" s="7" t="inlineStr">
        <is>
          <t>Ministère Eau</t>
        </is>
      </c>
      <c r="M28" s="7" t="inlineStr"/>
    </row>
    <row r="29" ht="20" customHeight="1">
      <c r="A29" s="3" t="n">
        <v>27</v>
      </c>
      <c r="B29" s="4" t="inlineStr">
        <is>
          <t>Barrage Koudiat El Baida</t>
        </is>
      </c>
      <c r="C29" s="3" t="inlineStr">
        <is>
          <t>Martil</t>
        </is>
      </c>
      <c r="D29" s="3" t="inlineStr">
        <is>
          <t>Tétouan / Tanger-Tétouan-Al Hoceïma</t>
        </is>
      </c>
      <c r="E29" s="3" t="inlineStr">
        <is>
          <t>35.47, -5.39</t>
        </is>
      </c>
      <c r="F29" s="3" t="n">
        <v>100</v>
      </c>
      <c r="G29" s="3" t="n">
        <v>65</v>
      </c>
      <c r="H29" s="5">
        <f>G29/F29*100</f>
        <v/>
      </c>
      <c r="I29" s="6" t="inlineStr">
        <is>
          <t>NORMAL</t>
        </is>
      </c>
      <c r="J29" s="3" t="n">
        <v>2019</v>
      </c>
      <c r="K29" s="3" t="n">
        <v>10</v>
      </c>
      <c r="L29" s="3" t="inlineStr">
        <is>
          <t>Ministère Eau</t>
        </is>
      </c>
      <c r="M29" s="3" t="inlineStr"/>
    </row>
    <row r="30" ht="20" customHeight="1">
      <c r="A30" s="7" t="n">
        <v>28</v>
      </c>
      <c r="B30" s="8" t="inlineStr">
        <is>
          <t>Barrage Garde Moulouya</t>
        </is>
      </c>
      <c r="C30" s="7" t="inlineStr">
        <is>
          <t>Moulouya</t>
        </is>
      </c>
      <c r="D30" s="7" t="inlineStr">
        <is>
          <t>Taourirt / Oriental</t>
        </is>
      </c>
      <c r="E30" s="7" t="inlineStr">
        <is>
          <t>34.49, -2.89</t>
        </is>
      </c>
      <c r="F30" s="7" t="n">
        <v>23</v>
      </c>
      <c r="G30" s="7" t="n">
        <v>12</v>
      </c>
      <c r="H30" s="9">
        <f>G30/F30*100</f>
        <v/>
      </c>
      <c r="I30" s="10" t="inlineStr">
        <is>
          <t>NORMAL</t>
        </is>
      </c>
      <c r="J30" s="7" t="n">
        <v>1960</v>
      </c>
      <c r="K30" s="7" t="n">
        <v>3</v>
      </c>
      <c r="L30" s="7" t="inlineStr">
        <is>
          <t>Ministère Eau</t>
        </is>
      </c>
      <c r="M30" s="7" t="inlineStr"/>
    </row>
    <row r="31" ht="20" customHeight="1">
      <c r="A31" s="3" t="n">
        <v>29</v>
      </c>
      <c r="B31" s="4" t="inlineStr">
        <is>
          <t>Barrage Sahla</t>
        </is>
      </c>
      <c r="C31" s="3" t="inlineStr">
        <is>
          <t>Sebou</t>
        </is>
      </c>
      <c r="D31" s="3" t="inlineStr">
        <is>
          <t>Taounate / Fès-Meknès</t>
        </is>
      </c>
      <c r="E31" s="3" t="inlineStr">
        <is>
          <t>34.72, -4.50</t>
        </is>
      </c>
      <c r="F31" s="3" t="n">
        <v>96</v>
      </c>
      <c r="G31" s="3" t="n">
        <v>55</v>
      </c>
      <c r="H31" s="5">
        <f>G31/F31*100</f>
        <v/>
      </c>
      <c r="I31" s="6" t="inlineStr">
        <is>
          <t>NORMAL</t>
        </is>
      </c>
      <c r="J31" s="3" t="n">
        <v>1993</v>
      </c>
      <c r="K31" s="3" t="n">
        <v>10</v>
      </c>
      <c r="L31" s="3" t="inlineStr">
        <is>
          <t>Ministère Eau</t>
        </is>
      </c>
      <c r="M31" s="3" t="inlineStr"/>
    </row>
    <row r="32" ht="20" customHeight="1">
      <c r="A32" s="7" t="n">
        <v>30</v>
      </c>
      <c r="B32" s="8" t="inlineStr">
        <is>
          <t>Barrage Zerrar</t>
        </is>
      </c>
      <c r="C32" s="7" t="inlineStr">
        <is>
          <t>Moulouya</t>
        </is>
      </c>
      <c r="D32" s="7" t="inlineStr">
        <is>
          <t>Al Hoceïma / Tanger-Tétouan</t>
        </is>
      </c>
      <c r="E32" s="7" t="inlineStr">
        <is>
          <t>35.22, -3.82</t>
        </is>
      </c>
      <c r="F32" s="7" t="n">
        <v>48</v>
      </c>
      <c r="G32" s="7" t="n">
        <v>26</v>
      </c>
      <c r="H32" s="9">
        <f>G32/F32*100</f>
        <v/>
      </c>
      <c r="I32" s="10" t="inlineStr">
        <is>
          <t>NORMAL</t>
        </is>
      </c>
      <c r="J32" s="7" t="n">
        <v>1996</v>
      </c>
      <c r="K32" s="7" t="n">
        <v>5</v>
      </c>
      <c r="L32" s="7" t="inlineStr">
        <is>
          <t>Ministère Eau</t>
        </is>
      </c>
      <c r="M32" s="7" t="inlineStr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5" customWidth="1" min="4" max="4"/>
    <col width="22" customWidth="1" min="5" max="5"/>
    <col width="14" customWidth="1" min="6" max="6"/>
    <col width="16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3" t="inlineStr">
        <is>
          <t>MAROC — LACS NATURELS ET LACS DE BARRAGE  |  Source : Haut-Commissariat aux Eaux et Forêts</t>
        </is>
      </c>
    </row>
    <row r="2" ht="48" customHeight="1">
      <c r="A2" s="14" t="inlineStr">
        <is>
          <t>ID</t>
        </is>
      </c>
      <c r="B2" s="14" t="inlineStr">
        <is>
          <t>Nom du lac</t>
        </is>
      </c>
      <c r="C2" s="14" t="inlineStr">
        <is>
          <t>Type</t>
        </is>
      </c>
      <c r="D2" s="14" t="inlineStr">
        <is>
          <t>Région</t>
        </is>
      </c>
      <c r="E2" s="14" t="inlineStr">
        <is>
          <t>Coordonnées GPS</t>
        </is>
      </c>
      <c r="F2" s="14" t="inlineStr">
        <is>
          <t>Superficie
(km²)</t>
        </is>
      </c>
      <c r="G2" s="14" t="inlineStr">
        <is>
          <t>Profondeur
moyenne (m)</t>
        </is>
      </c>
      <c r="H2" s="14" t="inlineStr">
        <is>
          <t>Niveau actuel
(%)</t>
        </is>
      </c>
      <c r="I2" s="14" t="inlineStr">
        <is>
          <t>Statut</t>
        </is>
      </c>
      <c r="J2" s="14" t="inlineStr">
        <is>
          <t>Notes</t>
        </is>
      </c>
    </row>
    <row r="3" ht="20" customHeight="1">
      <c r="A3" s="3" t="n">
        <v>1</v>
      </c>
      <c r="B3" s="4" t="inlineStr">
        <is>
          <t>Lac de Sidi Bou Rhaba</t>
        </is>
      </c>
      <c r="C3" s="3" t="inlineStr">
        <is>
          <t>Lac côtier</t>
        </is>
      </c>
      <c r="D3" s="3" t="inlineStr">
        <is>
          <t>Kénitra / Rabat-Salé-Kénitra</t>
        </is>
      </c>
      <c r="E3" s="3" t="inlineStr">
        <is>
          <t>34.27, -6.70</t>
        </is>
      </c>
      <c r="F3" s="3" t="n">
        <v>6.5</v>
      </c>
      <c r="G3" s="3" t="n">
        <v>2</v>
      </c>
      <c r="H3" s="3" t="n">
        <v>75</v>
      </c>
      <c r="I3" s="15" t="inlineStr">
        <is>
          <t>ÉLEVÉ</t>
        </is>
      </c>
      <c r="J3" s="3" t="inlineStr">
        <is>
          <t>Réserve de biosphère UNESCO</t>
        </is>
      </c>
    </row>
    <row r="4" ht="20" customHeight="1">
      <c r="A4" s="16" t="n">
        <v>2</v>
      </c>
      <c r="B4" s="17" t="inlineStr">
        <is>
          <t>Merja Zerga</t>
        </is>
      </c>
      <c r="C4" s="16" t="inlineStr">
        <is>
          <t>Lagune côtière</t>
        </is>
      </c>
      <c r="D4" s="16" t="inlineStr">
        <is>
          <t>Moulay Bousselham / Rabat-Salé</t>
        </is>
      </c>
      <c r="E4" s="16" t="inlineStr">
        <is>
          <t>34.86, -6.27</t>
        </is>
      </c>
      <c r="F4" s="16" t="n">
        <v>38</v>
      </c>
      <c r="G4" s="16" t="n">
        <v>1.5</v>
      </c>
      <c r="H4" s="16" t="n">
        <v>60</v>
      </c>
      <c r="I4" s="18" t="inlineStr">
        <is>
          <t>NORMAL</t>
        </is>
      </c>
      <c r="J4" s="16" t="inlineStr">
        <is>
          <t>Site Ramsar — oiseaux migrateurs</t>
        </is>
      </c>
    </row>
    <row r="5" ht="20" customHeight="1">
      <c r="A5" s="3" t="n">
        <v>3</v>
      </c>
      <c r="B5" s="4" t="inlineStr">
        <is>
          <t>Lac Dayet Aoua</t>
        </is>
      </c>
      <c r="C5" s="3" t="inlineStr">
        <is>
          <t>Lac naturel</t>
        </is>
      </c>
      <c r="D5" s="3" t="inlineStr">
        <is>
          <t>Ifrane / Fès-Meknès</t>
        </is>
      </c>
      <c r="E5" s="3" t="inlineStr">
        <is>
          <t>33.42, -5.07</t>
        </is>
      </c>
      <c r="F5" s="3" t="n">
        <v>1.2</v>
      </c>
      <c r="G5" s="3" t="n">
        <v>3</v>
      </c>
      <c r="H5" s="3" t="n">
        <v>45</v>
      </c>
      <c r="I5" s="11" t="inlineStr">
        <is>
          <t>BAS</t>
        </is>
      </c>
      <c r="J5" s="3" t="inlineStr">
        <is>
          <t>Zone humide d'altitude</t>
        </is>
      </c>
    </row>
    <row r="6" ht="20" customHeight="1">
      <c r="A6" s="16" t="n">
        <v>4</v>
      </c>
      <c r="B6" s="17" t="inlineStr">
        <is>
          <t>Dayet Hachlaf</t>
        </is>
      </c>
      <c r="C6" s="16" t="inlineStr">
        <is>
          <t>Lac naturel</t>
        </is>
      </c>
      <c r="D6" s="16" t="inlineStr">
        <is>
          <t>Ifrane / Fès-Meknès</t>
        </is>
      </c>
      <c r="E6" s="16" t="inlineStr">
        <is>
          <t>33.44, -5.09</t>
        </is>
      </c>
      <c r="F6" s="16" t="n">
        <v>0.8</v>
      </c>
      <c r="G6" s="16" t="n">
        <v>2.5</v>
      </c>
      <c r="H6" s="16" t="n">
        <v>40</v>
      </c>
      <c r="I6" s="19" t="inlineStr">
        <is>
          <t>BAS</t>
        </is>
      </c>
      <c r="J6" s="16" t="inlineStr"/>
    </row>
    <row r="7" ht="20" customHeight="1">
      <c r="A7" s="3" t="n">
        <v>5</v>
      </c>
      <c r="B7" s="4" t="inlineStr">
        <is>
          <t>Lac de Bin El Ouidane</t>
        </is>
      </c>
      <c r="C7" s="3" t="inlineStr">
        <is>
          <t>Lac de barrage</t>
        </is>
      </c>
      <c r="D7" s="3" t="inlineStr">
        <is>
          <t>Azilal / Béni Mellal-Khénifra</t>
        </is>
      </c>
      <c r="E7" s="3" t="inlineStr">
        <is>
          <t>32.10, -6.46</t>
        </is>
      </c>
      <c r="F7" s="3" t="n">
        <v>38</v>
      </c>
      <c r="G7" s="3" t="n">
        <v>30</v>
      </c>
      <c r="H7" s="3" t="n">
        <v>43</v>
      </c>
      <c r="I7" s="11" t="inlineStr">
        <is>
          <t>BAS</t>
        </is>
      </c>
      <c r="J7" s="3" t="inlineStr">
        <is>
          <t>Lié au barrage Bin El Ouidane</t>
        </is>
      </c>
    </row>
    <row r="8" ht="20" customHeight="1">
      <c r="A8" s="16" t="n">
        <v>6</v>
      </c>
      <c r="B8" s="17" t="inlineStr">
        <is>
          <t>Lac d'Ifni</t>
        </is>
      </c>
      <c r="C8" s="16" t="inlineStr">
        <is>
          <t>Lac glaciaire</t>
        </is>
      </c>
      <c r="D8" s="16" t="inlineStr">
        <is>
          <t>Taroudant / Souss-Massa</t>
        </is>
      </c>
      <c r="E8" s="16" t="inlineStr">
        <is>
          <t>31.07, -8.13</t>
        </is>
      </c>
      <c r="F8" s="16" t="n">
        <v>0.45</v>
      </c>
      <c r="G8" s="16" t="n">
        <v>60</v>
      </c>
      <c r="H8" s="16" t="n">
        <v>90</v>
      </c>
      <c r="I8" s="20" t="inlineStr">
        <is>
          <t>ÉLEVÉ</t>
        </is>
      </c>
      <c r="J8" s="16" t="inlineStr">
        <is>
          <t>Lac glaciaire haut Atlas — 2300m alt.</t>
        </is>
      </c>
    </row>
    <row r="9" ht="20" customHeight="1">
      <c r="A9" s="3" t="n">
        <v>7</v>
      </c>
      <c r="B9" s="4" t="inlineStr">
        <is>
          <t>Merja Sidi Mohamed Ben Ali</t>
        </is>
      </c>
      <c r="C9" s="3" t="inlineStr">
        <is>
          <t>Lac côtier</t>
        </is>
      </c>
      <c r="D9" s="3" t="inlineStr">
        <is>
          <t>El Jadida / Casablanca-Settat</t>
        </is>
      </c>
      <c r="E9" s="3" t="inlineStr">
        <is>
          <t>33.26, -8.47</t>
        </is>
      </c>
      <c r="F9" s="3" t="n">
        <v>4</v>
      </c>
      <c r="G9" s="3" t="n">
        <v>1.2</v>
      </c>
      <c r="H9" s="3" t="n">
        <v>55</v>
      </c>
      <c r="I9" s="6" t="inlineStr">
        <is>
          <t>NORMAL</t>
        </is>
      </c>
      <c r="J9" s="3" t="inlineStr"/>
    </row>
    <row r="10" ht="20" customHeight="1">
      <c r="A10" s="16" t="n">
        <v>8</v>
      </c>
      <c r="B10" s="17" t="inlineStr">
        <is>
          <t>Lac Aguelmane Azegza</t>
        </is>
      </c>
      <c r="C10" s="16" t="inlineStr">
        <is>
          <t>Lac naturel</t>
        </is>
      </c>
      <c r="D10" s="16" t="inlineStr">
        <is>
          <t>Khénifra / Béni Mellal-Khénifra</t>
        </is>
      </c>
      <c r="E10" s="16" t="inlineStr">
        <is>
          <t>32.56, -5.52</t>
        </is>
      </c>
      <c r="F10" s="16" t="n">
        <v>1</v>
      </c>
      <c r="G10" s="16" t="n">
        <v>15</v>
      </c>
      <c r="H10" s="16" t="n">
        <v>80</v>
      </c>
      <c r="I10" s="20" t="inlineStr">
        <is>
          <t>ÉLEVÉ</t>
        </is>
      </c>
      <c r="J10" s="16" t="inlineStr">
        <is>
          <t>Haut Atlas central</t>
        </is>
      </c>
    </row>
    <row r="11" ht="20" customHeight="1">
      <c r="A11" s="3" t="n">
        <v>9</v>
      </c>
      <c r="B11" s="4" t="inlineStr">
        <is>
          <t>Lac Aguelmane Sidi Ali</t>
        </is>
      </c>
      <c r="C11" s="3" t="inlineStr">
        <is>
          <t>Lac naturel</t>
        </is>
      </c>
      <c r="D11" s="3" t="inlineStr">
        <is>
          <t>Ifrane / Fès-Meknès</t>
        </is>
      </c>
      <c r="E11" s="3" t="inlineStr">
        <is>
          <t>33.07, -5.09</t>
        </is>
      </c>
      <c r="F11" s="3" t="n">
        <v>2.8</v>
      </c>
      <c r="G11" s="3" t="n">
        <v>40</v>
      </c>
      <c r="H11" s="3" t="n">
        <v>85</v>
      </c>
      <c r="I11" s="15" t="inlineStr">
        <is>
          <t>ÉLEVÉ</t>
        </is>
      </c>
      <c r="J11" s="3" t="inlineStr">
        <is>
          <t>Altitude 2080m</t>
        </is>
      </c>
    </row>
    <row r="12" ht="20" customHeight="1">
      <c r="A12" s="16" t="n">
        <v>10</v>
      </c>
      <c r="B12" s="17" t="inlineStr">
        <is>
          <t>Lac de Mansour Eddahbi</t>
        </is>
      </c>
      <c r="C12" s="16" t="inlineStr">
        <is>
          <t>Lac de barrage</t>
        </is>
      </c>
      <c r="D12" s="16" t="inlineStr">
        <is>
          <t>Ouarzazate / Drâa-Tafilalet</t>
        </is>
      </c>
      <c r="E12" s="16" t="inlineStr">
        <is>
          <t>30.93, -6.87</t>
        </is>
      </c>
      <c r="F12" s="16" t="n">
        <v>108</v>
      </c>
      <c r="G12" s="16" t="n">
        <v>15</v>
      </c>
      <c r="H12" s="16" t="n">
        <v>32</v>
      </c>
      <c r="I12" s="19" t="inlineStr">
        <is>
          <t>BAS</t>
        </is>
      </c>
      <c r="J12" s="16" t="inlineStr">
        <is>
          <t>Lié au barrage Mansour Eddahbi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5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8" customWidth="1" min="11" max="11"/>
  </cols>
  <sheetData>
    <row r="1" ht="30" customHeight="1">
      <c r="A1" s="21" t="inlineStr">
        <is>
          <t>MAROC — PRINCIPAUX COURS D'EAU  |  Source : Agences de Bassins Hydrauliques</t>
        </is>
      </c>
    </row>
    <row r="2" ht="48" customHeight="1">
      <c r="A2" s="22" t="inlineStr">
        <is>
          <t>ID</t>
        </is>
      </c>
      <c r="B2" s="22" t="inlineStr">
        <is>
          <t>Nom du cours d'eau</t>
        </is>
      </c>
      <c r="C2" s="22" t="inlineStr">
        <is>
          <t>Bassin versant</t>
        </is>
      </c>
      <c r="D2" s="22" t="inlineStr">
        <is>
          <t>Région</t>
        </is>
      </c>
      <c r="E2" s="22" t="inlineStr">
        <is>
          <t>Longueur
(km)</t>
        </is>
      </c>
      <c r="F2" s="22" t="inlineStr">
        <is>
          <t>Débit moyen
(m³/s)</t>
        </is>
      </c>
      <c r="G2" s="22" t="inlineStr">
        <is>
          <t>Débit actuel
(m³/s)</t>
        </is>
      </c>
      <c r="H2" s="22" t="inlineStr">
        <is>
          <t>État débit</t>
        </is>
      </c>
      <c r="I2" s="22" t="inlineStr">
        <is>
          <t>Source (origine)</t>
        </is>
      </c>
      <c r="J2" s="22" t="inlineStr">
        <is>
          <t>Embouchure</t>
        </is>
      </c>
      <c r="K2" s="22" t="inlineStr">
        <is>
          <t>Notes</t>
        </is>
      </c>
    </row>
    <row r="3" ht="20" customHeight="1">
      <c r="A3" s="3" t="n">
        <v>1</v>
      </c>
      <c r="B3" s="4" t="inlineStr">
        <is>
          <t>Oued Sebou</t>
        </is>
      </c>
      <c r="C3" s="3" t="inlineStr">
        <is>
          <t>Sebou</t>
        </is>
      </c>
      <c r="D3" s="3" t="inlineStr">
        <is>
          <t>Fès-Meknès / Rabat</t>
        </is>
      </c>
      <c r="E3" s="3" t="n">
        <v>458</v>
      </c>
      <c r="F3" s="3" t="n">
        <v>140</v>
      </c>
      <c r="G3" s="3" t="n">
        <v>95</v>
      </c>
      <c r="H3" s="6" t="inlineStr">
        <is>
          <t>NORMAL</t>
        </is>
      </c>
      <c r="I3" s="3" t="inlineStr">
        <is>
          <t>Moyen Atlas</t>
        </is>
      </c>
      <c r="J3" s="3" t="inlineStr">
        <is>
          <t>Océan Atlantique (Kénitra)</t>
        </is>
      </c>
      <c r="K3" s="3" t="inlineStr">
        <is>
          <t>Principal fleuve du nord Maroc</t>
        </is>
      </c>
    </row>
    <row r="4" ht="20" customHeight="1">
      <c r="A4" s="23" t="n">
        <v>2</v>
      </c>
      <c r="B4" s="24" t="inlineStr">
        <is>
          <t>Oued Oum Er Rbia</t>
        </is>
      </c>
      <c r="C4" s="23" t="inlineStr">
        <is>
          <t>Oum Er Rbia</t>
        </is>
      </c>
      <c r="D4" s="23" t="inlineStr">
        <is>
          <t>Béni Mellal / El Jadida</t>
        </is>
      </c>
      <c r="E4" s="23" t="n">
        <v>600</v>
      </c>
      <c r="F4" s="23" t="n">
        <v>120</v>
      </c>
      <c r="G4" s="23" t="n">
        <v>80</v>
      </c>
      <c r="H4" s="25" t="inlineStr">
        <is>
          <t>NORMAL</t>
        </is>
      </c>
      <c r="I4" s="23" t="inlineStr">
        <is>
          <t>Haut Atlas central</t>
        </is>
      </c>
      <c r="J4" s="23" t="inlineStr">
        <is>
          <t>Océan Atlantique</t>
        </is>
      </c>
      <c r="K4" s="23" t="inlineStr">
        <is>
          <t>2e fleuve marocain</t>
        </is>
      </c>
    </row>
    <row r="5" ht="20" customHeight="1">
      <c r="A5" s="3" t="n">
        <v>3</v>
      </c>
      <c r="B5" s="4" t="inlineStr">
        <is>
          <t>Oued Bouregreg</t>
        </is>
      </c>
      <c r="C5" s="3" t="inlineStr">
        <is>
          <t>Bouregreg</t>
        </is>
      </c>
      <c r="D5" s="3" t="inlineStr">
        <is>
          <t>Rabat-Salé-Kénitra</t>
        </is>
      </c>
      <c r="E5" s="3" t="n">
        <v>240</v>
      </c>
      <c r="F5" s="3" t="n">
        <v>35</v>
      </c>
      <c r="G5" s="3" t="n">
        <v>22</v>
      </c>
      <c r="H5" s="6" t="inlineStr">
        <is>
          <t>NORMAL</t>
        </is>
      </c>
      <c r="I5" s="3" t="inlineStr">
        <is>
          <t>Moyen Atlas</t>
        </is>
      </c>
      <c r="J5" s="3" t="inlineStr">
        <is>
          <t>Océan Atlantique (Rabat)</t>
        </is>
      </c>
      <c r="K5" s="3" t="inlineStr">
        <is>
          <t>Sépare Rabat et Salé</t>
        </is>
      </c>
    </row>
    <row r="6" ht="20" customHeight="1">
      <c r="A6" s="23" t="n">
        <v>4</v>
      </c>
      <c r="B6" s="24" t="inlineStr">
        <is>
          <t>Oued Tensift</t>
        </is>
      </c>
      <c r="C6" s="23" t="inlineStr">
        <is>
          <t>Tensift</t>
        </is>
      </c>
      <c r="D6" s="23" t="inlineStr">
        <is>
          <t>Marrakech-Safi</t>
        </is>
      </c>
      <c r="E6" s="23" t="n">
        <v>260</v>
      </c>
      <c r="F6" s="23" t="n">
        <v>20</v>
      </c>
      <c r="G6" s="23" t="n">
        <v>8</v>
      </c>
      <c r="H6" s="26" t="inlineStr">
        <is>
          <t>BAS</t>
        </is>
      </c>
      <c r="I6" s="23" t="inlineStr">
        <is>
          <t>Haut Atlas</t>
        </is>
      </c>
      <c r="J6" s="23" t="inlineStr">
        <is>
          <t>Océan Atlantique (Essaouira)</t>
        </is>
      </c>
      <c r="K6" s="23" t="inlineStr"/>
    </row>
    <row r="7" ht="20" customHeight="1">
      <c r="A7" s="3" t="n">
        <v>5</v>
      </c>
      <c r="B7" s="4" t="inlineStr">
        <is>
          <t>Oued Souss</t>
        </is>
      </c>
      <c r="C7" s="3" t="inlineStr">
        <is>
          <t>Souss</t>
        </is>
      </c>
      <c r="D7" s="3" t="inlineStr">
        <is>
          <t>Souss-Massa</t>
        </is>
      </c>
      <c r="E7" s="3" t="n">
        <v>180</v>
      </c>
      <c r="F7" s="3" t="n">
        <v>18</v>
      </c>
      <c r="G7" s="3" t="n">
        <v>10</v>
      </c>
      <c r="H7" s="11" t="inlineStr">
        <is>
          <t>BAS</t>
        </is>
      </c>
      <c r="I7" s="3" t="inlineStr">
        <is>
          <t>Haut Atlas (Anti-Atlas)</t>
        </is>
      </c>
      <c r="J7" s="3" t="inlineStr">
        <is>
          <t>Océan Atlantique (Agadir)</t>
        </is>
      </c>
      <c r="K7" s="3" t="inlineStr"/>
    </row>
    <row r="8" ht="20" customHeight="1">
      <c r="A8" s="23" t="n">
        <v>6</v>
      </c>
      <c r="B8" s="24" t="inlineStr">
        <is>
          <t>Oued Moulouya</t>
        </is>
      </c>
      <c r="C8" s="23" t="inlineStr">
        <is>
          <t>Moulouya</t>
        </is>
      </c>
      <c r="D8" s="23" t="inlineStr">
        <is>
          <t>Oriental</t>
        </is>
      </c>
      <c r="E8" s="23" t="n">
        <v>520</v>
      </c>
      <c r="F8" s="23" t="n">
        <v>60</v>
      </c>
      <c r="G8" s="23" t="n">
        <v>38</v>
      </c>
      <c r="H8" s="25" t="inlineStr">
        <is>
          <t>NORMAL</t>
        </is>
      </c>
      <c r="I8" s="23" t="inlineStr">
        <is>
          <t>Haut Atlas (Jbel Ayachi)</t>
        </is>
      </c>
      <c r="J8" s="23" t="inlineStr">
        <is>
          <t>Mer Méditerranée</t>
        </is>
      </c>
      <c r="K8" s="23" t="inlineStr">
        <is>
          <t>Seul fleuve vers Méditerranée</t>
        </is>
      </c>
    </row>
    <row r="9" ht="20" customHeight="1">
      <c r="A9" s="3" t="n">
        <v>7</v>
      </c>
      <c r="B9" s="4" t="inlineStr">
        <is>
          <t>Oued Drâa</t>
        </is>
      </c>
      <c r="C9" s="3" t="inlineStr">
        <is>
          <t>Drâa</t>
        </is>
      </c>
      <c r="D9" s="3" t="inlineStr">
        <is>
          <t>Drâa-Tafilalet</t>
        </is>
      </c>
      <c r="E9" s="3" t="n">
        <v>1100</v>
      </c>
      <c r="F9" s="3" t="n">
        <v>8</v>
      </c>
      <c r="G9" s="3" t="n">
        <v>3</v>
      </c>
      <c r="H9" s="11" t="inlineStr">
        <is>
          <t>BAS</t>
        </is>
      </c>
      <c r="I9" s="3" t="inlineStr">
        <is>
          <t>Haut Atlas</t>
        </is>
      </c>
      <c r="J9" s="3" t="inlineStr">
        <is>
          <t>Océan Atlantique (Tan-Tan, rare)</t>
        </is>
      </c>
      <c r="K9" s="3" t="inlineStr">
        <is>
          <t>Plus long oued marocain</t>
        </is>
      </c>
    </row>
    <row r="10" ht="20" customHeight="1">
      <c r="A10" s="23" t="n">
        <v>8</v>
      </c>
      <c r="B10" s="24" t="inlineStr">
        <is>
          <t>Oued Ziz</t>
        </is>
      </c>
      <c r="C10" s="23" t="inlineStr">
        <is>
          <t>Ziz</t>
        </is>
      </c>
      <c r="D10" s="23" t="inlineStr">
        <is>
          <t>Drâa-Tafilalet</t>
        </is>
      </c>
      <c r="E10" s="23" t="n">
        <v>280</v>
      </c>
      <c r="F10" s="23" t="n">
        <v>5</v>
      </c>
      <c r="G10" s="23" t="n">
        <v>2</v>
      </c>
      <c r="H10" s="26" t="inlineStr">
        <is>
          <t>BAS</t>
        </is>
      </c>
      <c r="I10" s="23" t="inlineStr">
        <is>
          <t>Haut Atlas</t>
        </is>
      </c>
      <c r="J10" s="23" t="inlineStr">
        <is>
          <t>Oasis Tafilalet (endoréique)</t>
        </is>
      </c>
      <c r="K10" s="23" t="inlineStr">
        <is>
          <t>Oasis Tafilalet</t>
        </is>
      </c>
    </row>
    <row r="11" ht="20" customHeight="1">
      <c r="A11" s="3" t="n">
        <v>9</v>
      </c>
      <c r="B11" s="4" t="inlineStr">
        <is>
          <t>Oued Ghris</t>
        </is>
      </c>
      <c r="C11" s="3" t="inlineStr">
        <is>
          <t>Moulouya</t>
        </is>
      </c>
      <c r="D11" s="3" t="inlineStr">
        <is>
          <t>Drâa-Tafilalet</t>
        </is>
      </c>
      <c r="E11" s="3" t="n">
        <v>220</v>
      </c>
      <c r="F11" s="3" t="n">
        <v>4</v>
      </c>
      <c r="G11" s="3" t="n">
        <v>1.5</v>
      </c>
      <c r="H11" s="11" t="inlineStr">
        <is>
          <t>BAS</t>
        </is>
      </c>
      <c r="I11" s="3" t="inlineStr">
        <is>
          <t>Haut Atlas</t>
        </is>
      </c>
      <c r="J11" s="3" t="inlineStr">
        <is>
          <t>Oued Moulouya</t>
        </is>
      </c>
      <c r="K11" s="3" t="inlineStr"/>
    </row>
    <row r="12" ht="20" customHeight="1">
      <c r="A12" s="23" t="n">
        <v>10</v>
      </c>
      <c r="B12" s="24" t="inlineStr">
        <is>
          <t>Oued Martil</t>
        </is>
      </c>
      <c r="C12" s="23" t="inlineStr">
        <is>
          <t>Martil</t>
        </is>
      </c>
      <c r="D12" s="23" t="inlineStr">
        <is>
          <t>Tanger-Tétouan-Al Hoceïma</t>
        </is>
      </c>
      <c r="E12" s="23" t="n">
        <v>60</v>
      </c>
      <c r="F12" s="23" t="n">
        <v>8</v>
      </c>
      <c r="G12" s="23" t="n">
        <v>5</v>
      </c>
      <c r="H12" s="25" t="inlineStr">
        <is>
          <t>NORMAL</t>
        </is>
      </c>
      <c r="I12" s="23" t="inlineStr">
        <is>
          <t>Rif</t>
        </is>
      </c>
      <c r="J12" s="23" t="inlineStr">
        <is>
          <t>Mer Méditerranée (Martil)</t>
        </is>
      </c>
      <c r="K12" s="23" t="inlineStr"/>
    </row>
    <row r="13" ht="20" customHeight="1">
      <c r="A13" s="3" t="n">
        <v>11</v>
      </c>
      <c r="B13" s="4" t="inlineStr">
        <is>
          <t>Oued Laou</t>
        </is>
      </c>
      <c r="C13" s="3" t="inlineStr">
        <is>
          <t>Laou</t>
        </is>
      </c>
      <c r="D13" s="3" t="inlineStr">
        <is>
          <t>Tanger-Tétouan-Al Hoceïma</t>
        </is>
      </c>
      <c r="E13" s="3" t="n">
        <v>80</v>
      </c>
      <c r="F13" s="3" t="n">
        <v>6</v>
      </c>
      <c r="G13" s="3" t="n">
        <v>4</v>
      </c>
      <c r="H13" s="6" t="inlineStr">
        <is>
          <t>NORMAL</t>
        </is>
      </c>
      <c r="I13" s="3" t="inlineStr">
        <is>
          <t>Rif</t>
        </is>
      </c>
      <c r="J13" s="3" t="inlineStr">
        <is>
          <t>Mer Méditerranée</t>
        </is>
      </c>
      <c r="K13" s="3" t="inlineStr"/>
    </row>
    <row r="14" ht="20" customHeight="1">
      <c r="A14" s="23" t="n">
        <v>12</v>
      </c>
      <c r="B14" s="24" t="inlineStr">
        <is>
          <t>Oued Massa</t>
        </is>
      </c>
      <c r="C14" s="23" t="inlineStr">
        <is>
          <t>Souss-Massa</t>
        </is>
      </c>
      <c r="D14" s="23" t="inlineStr">
        <is>
          <t>Souss-Massa</t>
        </is>
      </c>
      <c r="E14" s="23" t="n">
        <v>70</v>
      </c>
      <c r="F14" s="23" t="n">
        <v>3</v>
      </c>
      <c r="G14" s="23" t="n">
        <v>1.5</v>
      </c>
      <c r="H14" s="26" t="inlineStr">
        <is>
          <t>BAS</t>
        </is>
      </c>
      <c r="I14" s="23" t="inlineStr">
        <is>
          <t>Haut Atlas</t>
        </is>
      </c>
      <c r="J14" s="23" t="inlineStr">
        <is>
          <t>Océan Atlantique</t>
        </is>
      </c>
      <c r="K14" s="23" t="inlineStr">
        <is>
          <t>Parc national Souss-Massa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30" customWidth="1" min="11" max="11"/>
  </cols>
  <sheetData>
    <row r="1" ht="30" customHeight="1">
      <c r="A1" s="27" t="inlineStr">
        <is>
          <t>MAROC — NAPPES PHRÉATIQUES  |  Source : ONEE / Ministère de l'Eau</t>
        </is>
      </c>
    </row>
    <row r="2" ht="48" customHeight="1">
      <c r="A2" s="28" t="inlineStr">
        <is>
          <t>ID</t>
        </is>
      </c>
      <c r="B2" s="28" t="inlineStr">
        <is>
          <t>Nom de la nappe</t>
        </is>
      </c>
      <c r="C2" s="28" t="inlineStr">
        <is>
          <t>Type</t>
        </is>
      </c>
      <c r="D2" s="28" t="inlineStr">
        <is>
          <t>Région</t>
        </is>
      </c>
      <c r="E2" s="28" t="inlineStr">
        <is>
          <t>Superficie
(km²)</t>
        </is>
      </c>
      <c r="F2" s="28" t="inlineStr">
        <is>
          <t>Volume estimé
(Mm³)</t>
        </is>
      </c>
      <c r="G2" s="28" t="inlineStr">
        <is>
          <t>Niveau piézo.
actuel (m)</t>
        </is>
      </c>
      <c r="H2" s="28" t="inlineStr">
        <is>
          <t>Niveau piézo.
normal (m)</t>
        </is>
      </c>
      <c r="I2" s="28" t="inlineStr">
        <is>
          <t>Taux
exploitation (%)</t>
        </is>
      </c>
      <c r="J2" s="28" t="inlineStr">
        <is>
          <t>Statut</t>
        </is>
      </c>
      <c r="K2" s="28" t="inlineStr">
        <is>
          <t>Notes</t>
        </is>
      </c>
    </row>
    <row r="3" ht="20" customHeight="1">
      <c r="A3" s="3" t="n">
        <v>1</v>
      </c>
      <c r="B3" s="4" t="inlineStr">
        <is>
          <t>Nappe du Haouz</t>
        </is>
      </c>
      <c r="C3" s="3" t="inlineStr">
        <is>
          <t>Phréatique</t>
        </is>
      </c>
      <c r="D3" s="3" t="inlineStr">
        <is>
          <t>Marrakech-Safi</t>
        </is>
      </c>
      <c r="E3" s="3" t="n">
        <v>6000</v>
      </c>
      <c r="F3" s="3" t="n">
        <v>4500</v>
      </c>
      <c r="G3" s="3" t="n">
        <v>-25</v>
      </c>
      <c r="H3" s="3" t="n">
        <v>-18</v>
      </c>
      <c r="I3" s="3" t="n">
        <v>85</v>
      </c>
      <c r="J3" s="11" t="inlineStr">
        <is>
          <t>ÉLEVÉ</t>
        </is>
      </c>
      <c r="K3" s="3" t="inlineStr">
        <is>
          <t>Plaine du Haouz, surexploitation</t>
        </is>
      </c>
    </row>
    <row r="4" ht="20" customHeight="1">
      <c r="A4" s="29" t="n">
        <v>2</v>
      </c>
      <c r="B4" s="30" t="inlineStr">
        <is>
          <t>Nappe de Souss</t>
        </is>
      </c>
      <c r="C4" s="29" t="inlineStr">
        <is>
          <t>Phréatique</t>
        </is>
      </c>
      <c r="D4" s="29" t="inlineStr">
        <is>
          <t>Souss-Massa</t>
        </is>
      </c>
      <c r="E4" s="29" t="n">
        <v>4000</v>
      </c>
      <c r="F4" s="29" t="n">
        <v>1800</v>
      </c>
      <c r="G4" s="29" t="n">
        <v>-55</v>
      </c>
      <c r="H4" s="29" t="n">
        <v>-35</v>
      </c>
      <c r="I4" s="29" t="n">
        <v>110</v>
      </c>
      <c r="J4" s="31" t="inlineStr">
        <is>
          <t>CRITIQUE</t>
        </is>
      </c>
      <c r="K4" s="29" t="inlineStr">
        <is>
          <t>SUREXPLOITÉE — déficit chronique</t>
        </is>
      </c>
    </row>
    <row r="5" ht="20" customHeight="1">
      <c r="A5" s="3" t="n">
        <v>3</v>
      </c>
      <c r="B5" s="4" t="inlineStr">
        <is>
          <t>Nappe de Tadla</t>
        </is>
      </c>
      <c r="C5" s="3" t="inlineStr">
        <is>
          <t>Phréatique</t>
        </is>
      </c>
      <c r="D5" s="3" t="inlineStr">
        <is>
          <t>Béni Mellal-Khénifra</t>
        </is>
      </c>
      <c r="E5" s="3" t="n">
        <v>3500</v>
      </c>
      <c r="F5" s="3" t="n">
        <v>2200</v>
      </c>
      <c r="G5" s="3" t="n">
        <v>-20</v>
      </c>
      <c r="H5" s="3" t="n">
        <v>-15</v>
      </c>
      <c r="I5" s="3" t="n">
        <v>75</v>
      </c>
      <c r="J5" s="6" t="inlineStr">
        <is>
          <t>MODÉRÉ</t>
        </is>
      </c>
      <c r="K5" s="3" t="inlineStr">
        <is>
          <t>Plaine de Tadla</t>
        </is>
      </c>
    </row>
    <row r="6" ht="20" customHeight="1">
      <c r="A6" s="29" t="n">
        <v>4</v>
      </c>
      <c r="B6" s="30" t="inlineStr">
        <is>
          <t>Nappe de Gharb</t>
        </is>
      </c>
      <c r="C6" s="29" t="inlineStr">
        <is>
          <t>Phréatique</t>
        </is>
      </c>
      <c r="D6" s="29" t="inlineStr">
        <is>
          <t>Rabat-Salé-Kénitra</t>
        </is>
      </c>
      <c r="E6" s="29" t="n">
        <v>5000</v>
      </c>
      <c r="F6" s="29" t="n">
        <v>8000</v>
      </c>
      <c r="G6" s="29" t="n">
        <v>-8</v>
      </c>
      <c r="H6" s="29" t="n">
        <v>-6</v>
      </c>
      <c r="I6" s="29" t="n">
        <v>60</v>
      </c>
      <c r="J6" s="32" t="inlineStr">
        <is>
          <t>FAIBLE</t>
        </is>
      </c>
      <c r="K6" s="29" t="inlineStr">
        <is>
          <t>Plaine du Gharb, bien alimentée</t>
        </is>
      </c>
    </row>
    <row r="7" ht="20" customHeight="1">
      <c r="A7" s="3" t="n">
        <v>5</v>
      </c>
      <c r="B7" s="4" t="inlineStr">
        <is>
          <t>Nappe de Saiss</t>
        </is>
      </c>
      <c r="C7" s="3" t="inlineStr">
        <is>
          <t>Phréatique</t>
        </is>
      </c>
      <c r="D7" s="3" t="inlineStr">
        <is>
          <t>Fès-Meknès</t>
        </is>
      </c>
      <c r="E7" s="3" t="n">
        <v>3400</v>
      </c>
      <c r="F7" s="3" t="n">
        <v>1500</v>
      </c>
      <c r="G7" s="3" t="n">
        <v>-75</v>
      </c>
      <c r="H7" s="3" t="n">
        <v>-50</v>
      </c>
      <c r="I7" s="3" t="n">
        <v>95</v>
      </c>
      <c r="J7" s="11" t="inlineStr">
        <is>
          <t>ÉLEVÉ</t>
        </is>
      </c>
      <c r="K7" s="3" t="inlineStr">
        <is>
          <t>Baisse préoccupante du niveau</t>
        </is>
      </c>
    </row>
    <row r="8" ht="20" customHeight="1">
      <c r="A8" s="29" t="n">
        <v>6</v>
      </c>
      <c r="B8" s="30" t="inlineStr">
        <is>
          <t>Nappe de Beni Amir</t>
        </is>
      </c>
      <c r="C8" s="29" t="inlineStr">
        <is>
          <t>Phréatique</t>
        </is>
      </c>
      <c r="D8" s="29" t="inlineStr">
        <is>
          <t>Béni Mellal-Khénifra</t>
        </is>
      </c>
      <c r="E8" s="29" t="n">
        <v>1200</v>
      </c>
      <c r="F8" s="29" t="n">
        <v>600</v>
      </c>
      <c r="G8" s="29" t="n">
        <v>-30</v>
      </c>
      <c r="H8" s="29" t="n">
        <v>-22</v>
      </c>
      <c r="I8" s="29" t="n">
        <v>80</v>
      </c>
      <c r="J8" s="33" t="inlineStr">
        <is>
          <t>MODÉRÉ</t>
        </is>
      </c>
      <c r="K8" s="29" t="inlineStr"/>
    </row>
    <row r="9" ht="20" customHeight="1">
      <c r="A9" s="3" t="n">
        <v>7</v>
      </c>
      <c r="B9" s="4" t="inlineStr">
        <is>
          <t>Nappe côtière de Doukkala</t>
        </is>
      </c>
      <c r="C9" s="3" t="inlineStr">
        <is>
          <t>Phréatique</t>
        </is>
      </c>
      <c r="D9" s="3" t="inlineStr">
        <is>
          <t>Casablanca-Settat</t>
        </is>
      </c>
      <c r="E9" s="3" t="n">
        <v>2000</v>
      </c>
      <c r="F9" s="3" t="n">
        <v>900</v>
      </c>
      <c r="G9" s="3" t="n">
        <v>-12</v>
      </c>
      <c r="H9" s="3" t="n">
        <v>-9</v>
      </c>
      <c r="I9" s="3" t="n">
        <v>70</v>
      </c>
      <c r="J9" s="6" t="inlineStr">
        <is>
          <t>MODÉRÉ</t>
        </is>
      </c>
      <c r="K9" s="3" t="inlineStr">
        <is>
          <t>Risque d'intrusion marine</t>
        </is>
      </c>
    </row>
    <row r="10" ht="20" customHeight="1">
      <c r="A10" s="29" t="n">
        <v>8</v>
      </c>
      <c r="B10" s="30" t="inlineStr">
        <is>
          <t>Nappe du Tensift</t>
        </is>
      </c>
      <c r="C10" s="29" t="inlineStr">
        <is>
          <t>Phréatique</t>
        </is>
      </c>
      <c r="D10" s="29" t="inlineStr">
        <is>
          <t>Marrakech-Safi</t>
        </is>
      </c>
      <c r="E10" s="29" t="n">
        <v>2200</v>
      </c>
      <c r="F10" s="29" t="n">
        <v>1100</v>
      </c>
      <c r="G10" s="29" t="n">
        <v>-18</v>
      </c>
      <c r="H10" s="29" t="n">
        <v>-13</v>
      </c>
      <c r="I10" s="29" t="n">
        <v>78</v>
      </c>
      <c r="J10" s="33" t="inlineStr">
        <is>
          <t>MODÉRÉ</t>
        </is>
      </c>
      <c r="K10" s="29" t="inlineStr"/>
    </row>
    <row r="11" ht="20" customHeight="1">
      <c r="A11" s="3" t="n">
        <v>9</v>
      </c>
      <c r="B11" s="4" t="inlineStr">
        <is>
          <t>Nappe d'Angad</t>
        </is>
      </c>
      <c r="C11" s="3" t="inlineStr">
        <is>
          <t>Phréatique</t>
        </is>
      </c>
      <c r="D11" s="3" t="inlineStr">
        <is>
          <t>Oriental</t>
        </is>
      </c>
      <c r="E11" s="3" t="n">
        <v>1300</v>
      </c>
      <c r="F11" s="3" t="n">
        <v>500</v>
      </c>
      <c r="G11" s="3" t="n">
        <v>-40</v>
      </c>
      <c r="H11" s="3" t="n">
        <v>-28</v>
      </c>
      <c r="I11" s="3" t="n">
        <v>92</v>
      </c>
      <c r="J11" s="11" t="inlineStr">
        <is>
          <t>ÉLEVÉ</t>
        </is>
      </c>
      <c r="K11" s="3" t="inlineStr">
        <is>
          <t>Surexploitation zone Oujda</t>
        </is>
      </c>
    </row>
    <row r="12" ht="20" customHeight="1">
      <c r="A12" s="29" t="n">
        <v>10</v>
      </c>
      <c r="B12" s="30" t="inlineStr">
        <is>
          <t>Nappe de Guelmim</t>
        </is>
      </c>
      <c r="C12" s="29" t="inlineStr">
        <is>
          <t>Phréatique</t>
        </is>
      </c>
      <c r="D12" s="29" t="inlineStr">
        <is>
          <t>Guelmim-Oued Noun</t>
        </is>
      </c>
      <c r="E12" s="29" t="n">
        <v>800</v>
      </c>
      <c r="F12" s="29" t="n">
        <v>300</v>
      </c>
      <c r="G12" s="29" t="n">
        <v>-60</v>
      </c>
      <c r="H12" s="29" t="n">
        <v>-40</v>
      </c>
      <c r="I12" s="29" t="n">
        <v>105</v>
      </c>
      <c r="J12" s="31" t="inlineStr">
        <is>
          <t>CRITIQUE</t>
        </is>
      </c>
      <c r="K12" s="29" t="inlineStr">
        <is>
          <t>Région aride, pression forte</t>
        </is>
      </c>
    </row>
    <row r="13" ht="20" customHeight="1">
      <c r="A13" s="3" t="n">
        <v>11</v>
      </c>
      <c r="B13" s="4" t="inlineStr">
        <is>
          <t>Nappe de Tafilalet</t>
        </is>
      </c>
      <c r="C13" s="3" t="inlineStr">
        <is>
          <t>Phréatique</t>
        </is>
      </c>
      <c r="D13" s="3" t="inlineStr">
        <is>
          <t>Drâa-Tafilalet</t>
        </is>
      </c>
      <c r="E13" s="3" t="n">
        <v>1500</v>
      </c>
      <c r="F13" s="3" t="n">
        <v>700</v>
      </c>
      <c r="G13" s="3" t="n">
        <v>-45</v>
      </c>
      <c r="H13" s="3" t="n">
        <v>-30</v>
      </c>
      <c r="I13" s="3" t="n">
        <v>90</v>
      </c>
      <c r="J13" s="11" t="inlineStr">
        <is>
          <t>ÉLEVÉ</t>
        </is>
      </c>
      <c r="K13" s="3" t="inlineStr">
        <is>
          <t>Oasis, recharge faible</t>
        </is>
      </c>
    </row>
    <row r="14" ht="20" customHeight="1">
      <c r="A14" s="29" t="n">
        <v>12</v>
      </c>
      <c r="B14" s="30" t="inlineStr">
        <is>
          <t>Nappe de Charf El Akab</t>
        </is>
      </c>
      <c r="C14" s="29" t="inlineStr">
        <is>
          <t>Captive</t>
        </is>
      </c>
      <c r="D14" s="29" t="inlineStr">
        <is>
          <t>Tanger-Tétouan-Al Hoceïma</t>
        </is>
      </c>
      <c r="E14" s="29" t="n">
        <v>400</v>
      </c>
      <c r="F14" s="29" t="n">
        <v>180</v>
      </c>
      <c r="G14" s="29" t="n">
        <v>-35</v>
      </c>
      <c r="H14" s="29" t="n">
        <v>-28</v>
      </c>
      <c r="I14" s="29" t="n">
        <v>65</v>
      </c>
      <c r="J14" s="33" t="inlineStr">
        <is>
          <t>MODÉRÉ</t>
        </is>
      </c>
      <c r="K14" s="29" t="inlineStr">
        <is>
          <t>Alimentation eau potable Tanger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34" t="inlineStr">
        <is>
          <t>GUIDE D'INTÉGRATION — Comment lire ce fichier dans Spring Boot</t>
        </is>
      </c>
    </row>
    <row r="2" ht="100" customHeight="1">
      <c r="A2" s="35" t="inlineStr">
        <is>
          <t>Dépendance Maven</t>
        </is>
      </c>
      <c r="B2" s="36" t="inlineStr">
        <is>
          <t>&lt;!-- Ajouter dans pom.xml --&gt;
&lt;dependency&gt;
  &lt;groupId&gt;org.apache.poi&lt;/groupId&gt;
  &lt;artifactId&gt;poi-ooxml&lt;/artifactId&gt;
  &lt;version&gt;5.2.5&lt;/version&gt;
&lt;/dependency&gt;</t>
        </is>
      </c>
    </row>
    <row r="3" ht="55" customHeight="1">
      <c r="A3" s="37" t="inlineStr">
        <is>
          <t>Placement du fichier</t>
        </is>
      </c>
      <c r="B3" s="38" t="inlineStr">
        <is>
          <t>Placer dans : src/main/resources/data/maroc_ressources_eau.xlsx</t>
        </is>
      </c>
    </row>
    <row r="4" ht="148" customHeight="1">
      <c r="A4" s="35" t="inlineStr">
        <is>
          <t>Lecture Sheet Barrages</t>
        </is>
      </c>
      <c r="B4" s="36" t="inlineStr">
        <is>
          <t>Workbook wb = new XSSFWorkbook(stream);
Sheet sheet = wb.getSheet("Barrages");
for (Row row : sheet) {
  if (row.getRowNum() &lt; 2) continue; // skip header
  String nom = row.getCell(1).getStringCellValue();
  double capMax = row.getCell(5).getNumericCellValue();
  double niveau = row.getCell(6).getNumericCellValue();
  // ... builder WaterRessource
}</t>
        </is>
      </c>
    </row>
    <row r="5" ht="55" customHeight="1">
      <c r="A5" s="37" t="inlineStr">
        <is>
          <t>Colonnes Barrages</t>
        </is>
      </c>
      <c r="B5" s="38" t="inlineStr">
        <is>
          <t>0=ID | 1=Nom | 2=Bassin | 3=Province | 4=GPS | 5=CapMax(Mm³) | 6=Niveau(Mm³) | 7=Taux(%) | 8=Statut | 9=Année | 10=Superficie | 11=Source | 12=Notes</t>
        </is>
      </c>
    </row>
    <row r="6" ht="55" customHeight="1">
      <c r="A6" s="35" t="inlineStr">
        <is>
          <t>Colonnes Lacs</t>
        </is>
      </c>
      <c r="B6" s="36" t="inlineStr">
        <is>
          <t>0=ID | 1=Nom | 2=Type | 3=Région | 4=GPS | 5=Superficie(km²) | 6=Profondeur(m) | 7=Niveau(%) | 8=Statut | 9=Notes</t>
        </is>
      </c>
    </row>
    <row r="7" ht="55" customHeight="1">
      <c r="A7" s="37" t="inlineStr">
        <is>
          <t>Colonnes Rivières</t>
        </is>
      </c>
      <c r="B7" s="38" t="inlineStr">
        <is>
          <t>0=ID | 1=Nom | 2=Bassin | 3=Région | 4=Longueur(km) | 5=DébitMoy | 6=DébitAct | 7=État | 8=Source | 9=Embouchure | 10=Notes</t>
        </is>
      </c>
    </row>
    <row r="8" ht="55" customHeight="1">
      <c r="A8" s="35" t="inlineStr">
        <is>
          <t>Colonnes Nappes</t>
        </is>
      </c>
      <c r="B8" s="36" t="inlineStr">
        <is>
          <t>0=ID | 1=Nom | 2=Type | 3=Région | 4=Superficie | 5=Volume | 6=NivActuel | 7=NivNormal | 8=Taux(%) | 9=Statut | 10=Notes</t>
        </is>
      </c>
    </row>
    <row r="9" ht="68" customHeight="1">
      <c r="A9" s="37" t="inlineStr">
        <is>
          <t>RessourceType mapping</t>
        </is>
      </c>
      <c r="B9" s="38" t="inlineStr">
        <is>
          <t>Sheet "Barrages"   → RessourceType.BARRAGE
Sheet "Lacs"       → RessourceType.LAC
Sheet "Rivières"  → RessourceType.RIVIERE
Sheet "Nappes..." → RessourceType.NAPPE_PHREATIQUE</t>
        </is>
      </c>
    </row>
    <row r="10" ht="68" customHeight="1">
      <c r="A10" s="35" t="inlineStr">
        <is>
          <t>GPS parsing</t>
        </is>
      </c>
      <c r="B10" s="36" t="inlineStr">
        <is>
          <t>String gps = row.getCell(4).getStringCellValue();
String[] parts = gps.split(", ");
double lat = Double.parseDouble(parts[0]);
double lon = Double.parseDouble(parts[1]);</t>
        </is>
      </c>
    </row>
    <row r="11" ht="55" customHeight="1">
      <c r="A11" s="37" t="inlineStr">
        <is>
          <t>Source officielle</t>
        </is>
      </c>
      <c r="B11" s="38" t="inlineStr">
        <is>
          <t>https://www.eau.gov.ma/index.php/fr/situation-des-barrages
Données référencées : Ministère de l'Équipement et de l'Eau du Maroc
Mise à jour recommandée : hebdomadaire (publication chaque semaine)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2026-04-21T09:27:04Z</dcterms:created>
  <dcterms:modified xmlns:dcterms="http://purl.org/dc/terms/" xmlns:xsi="http://www.w3.org/2001/XMLSchema-instance" xsi:type="dcterms:W3CDTF">2026-04-21T09:27:04Z</dcterms:modified>
</cp:coreProperties>
</file>